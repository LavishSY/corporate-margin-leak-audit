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96CDDA778005/Documents/"/>
    </mc:Choice>
  </mc:AlternateContent>
  <xr:revisionPtr revIDLastSave="329" documentId="8_{DEC7BB8D-5805-498D-9C37-37BA82D61374}" xr6:coauthVersionLast="47" xr6:coauthVersionMax="47" xr10:uidLastSave="{FDE4BE1C-23E6-4778-B09B-91831D22513E}"/>
  <bookViews>
    <workbookView xWindow="-120" yWindow="-120" windowWidth="29040" windowHeight="16440" xr2:uid="{75D52779-F2C8-44EB-83CF-3BF9819FB301}"/>
  </bookViews>
  <sheets>
    <sheet name="Dashboard_Core" sheetId="2" r:id="rId1"/>
    <sheet name="Data_Warehouse" sheetId="4" r:id="rId2"/>
  </sheets>
  <definedNames>
    <definedName name="ExternalData_1" localSheetId="1" hidden="1">Data_Warehouse!$A$1:$J$43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2" l="1" a="1"/>
  <c r="C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B11" i="2" a="1"/>
  <c r="B11" i="2" s="1"/>
  <c r="D11" i="2" l="1"/>
  <c r="E11" i="2" s="1"/>
  <c r="F14" i="2"/>
  <c r="F13" i="2"/>
  <c r="C21" i="2"/>
  <c r="F18" i="2" l="1"/>
  <c r="F17" i="2"/>
  <c r="F15" i="2"/>
  <c r="F16" i="2"/>
  <c r="F12" i="2"/>
  <c r="F20" i="2"/>
  <c r="F19" i="2"/>
  <c r="D21" i="2"/>
  <c r="F11" i="2" l="1"/>
  <c r="E21" i="2"/>
  <c r="F2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410445-90F3-4B34-80CF-6544F5E346E4}" keepAlive="1" name="Query - na_corporate_leak_audit" description="Connection to the 'na_corporate_leak_audit' query in the workbook." type="5" refreshedVersion="8" background="1" saveData="1">
    <dbPr connection="Provider=Microsoft.Mashup.OleDb.1;Data Source=$Workbook$;Location=na_corporate_leak_audit;Extended Properties=&quot;&quot;" command="SELECT * FROM [na_corporate_leak_audi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<sst xmlns="http://schemas.openxmlformats.org/spreadsheetml/2006/main" count="229" uniqueCount="74">
  <si>
    <t>order_id</t>
  </si>
  <si>
    <t>customer_segment</t>
  </si>
  <si>
    <t>region</t>
  </si>
  <si>
    <t>product_category</t>
  </si>
  <si>
    <t>product_name</t>
  </si>
  <si>
    <t>sales_amount</t>
  </si>
  <si>
    <t>profit</t>
  </si>
  <si>
    <t>discount_percent</t>
  </si>
  <si>
    <t>shipping_cost</t>
  </si>
  <si>
    <t>margin_percent</t>
  </si>
  <si>
    <t>ORD-10392</t>
  </si>
  <si>
    <t>Corporate</t>
  </si>
  <si>
    <t>North America</t>
  </si>
  <si>
    <t>Office Supplies</t>
  </si>
  <si>
    <t>Paper Clips Box 500pc</t>
  </si>
  <si>
    <t>ORD-10874</t>
  </si>
  <si>
    <t>Binder Clips Assorted 48pc</t>
  </si>
  <si>
    <t>ORD-11452</t>
  </si>
  <si>
    <t>ORD-10306</t>
  </si>
  <si>
    <t>Ballpoint Pen Pack 12</t>
  </si>
  <si>
    <t>ORD-10903</t>
  </si>
  <si>
    <t>Desk Calendar 2025</t>
  </si>
  <si>
    <t>ORD-10422</t>
  </si>
  <si>
    <t>Tape Dispenser Heavy Duty</t>
  </si>
  <si>
    <t>ORD-11733</t>
  </si>
  <si>
    <t>ORD-11100</t>
  </si>
  <si>
    <t>Stapler Full-Size</t>
  </si>
  <si>
    <t>ORD-10885</t>
  </si>
  <si>
    <t>Premium Notebook Set A5</t>
  </si>
  <si>
    <t>ORD-10917</t>
  </si>
  <si>
    <t>Whiteboard Markers Set 8</t>
  </si>
  <si>
    <t>ORD-11713</t>
  </si>
  <si>
    <t>ORD-11233</t>
  </si>
  <si>
    <t>ORD-11998</t>
  </si>
  <si>
    <t>ORD-10925</t>
  </si>
  <si>
    <t>Sticky Notes Multicolor 6-Pack</t>
  </si>
  <si>
    <t>ORD-11143</t>
  </si>
  <si>
    <t>ORD-10835</t>
  </si>
  <si>
    <t>ORD-10385</t>
  </si>
  <si>
    <t>ORD-11726</t>
  </si>
  <si>
    <t>ORD-10294</t>
  </si>
  <si>
    <t>ORD-11976</t>
  </si>
  <si>
    <t>ORD-11094</t>
  </si>
  <si>
    <t>ORD-11504</t>
  </si>
  <si>
    <t>ORD-11209</t>
  </si>
  <si>
    <t>ORD-10162</t>
  </si>
  <si>
    <t>ORD-10400</t>
  </si>
  <si>
    <t>ORD-11590</t>
  </si>
  <si>
    <t>ORD-11694</t>
  </si>
  <si>
    <t>ORD-10814</t>
  </si>
  <si>
    <t>ORD-11845</t>
  </si>
  <si>
    <t>ORD-10684</t>
  </si>
  <si>
    <t>ORD-10371</t>
  </si>
  <si>
    <t>ORD-10328</t>
  </si>
  <si>
    <t>ORD-11616</t>
  </si>
  <si>
    <t>Highlighters Neon Pack 6</t>
  </si>
  <si>
    <t>ORD-11662</t>
  </si>
  <si>
    <t>ORD-10834</t>
  </si>
  <si>
    <t>ORD-10393</t>
  </si>
  <si>
    <t>ORD-11044</t>
  </si>
  <si>
    <t>ORD-10918</t>
  </si>
  <si>
    <t>ORD-11492</t>
  </si>
  <si>
    <t>ORD-10678</t>
  </si>
  <si>
    <t>ORD-10682</t>
  </si>
  <si>
    <t>ORD-11407</t>
  </si>
  <si>
    <t>EXECUTIVE MONETIZATION SIMULATION SYSTEM</t>
  </si>
  <si>
    <t>Discount Override Target</t>
  </si>
  <si>
    <t>Baseline Cap Threshold</t>
  </si>
  <si>
    <t>Baseline Revenue</t>
  </si>
  <si>
    <t>Optimized Yield</t>
  </si>
  <si>
    <t>Variance ($)</t>
  </si>
  <si>
    <t>Variance (%)</t>
  </si>
  <si>
    <t>Product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</si>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</sst>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9" fontId="0" fillId="2" borderId="0" xfId="1" applyFont="1" applyFill="1"/>
    <xf numFmtId="0" fontId="1" fillId="2" borderId="2" xfId="0" applyFont="1" applyFill="1" applyBorder="1"/>
    <xf numFmtId="9" fontId="1" fillId="2" borderId="2" xfId="1" applyFont="1" applyFill="1" applyBorder="1"/>
    <xf numFmtId="44" fontId="0" fillId="2" borderId="0" xfId="2" applyFont="1" applyFill="1"/>
    <xf numFmtId="44" fontId="1" fillId="2" borderId="2" xfId="2" applyFont="1" applyFill="1" applyBorder="1"/>
    <xf numFmtId="9" fontId="0" fillId="2" borderId="1" xfId="0" applyNumberFormat="1" applyFill="1" applyBorder="1" applyAlignment="1" applyProtection="1">
      <alignment horizontal="right"/>
      <protection locked="0"/>
    </xf>
    <xf numFmtId="0" fontId="0" fillId="2" borderId="1" xfId="0" applyFill="1" applyBorder="1" applyAlignment="1" applyProtection="1">
      <alignment horizontal="right"/>
      <protection locked="0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A623A2-7083-47E7-8DBE-ACD2105F6FA2}" autoFormatId="16" applyNumberFormats="0" applyBorderFormats="0" applyFontFormats="0" applyPatternFormats="0" applyAlignmentFormats="0" applyWidthHeightFormats="0">
  <queryTableRefresh nextId="12">
    <queryTableFields count="10">
      <queryTableField id="1" name="order_id" tableColumnId="1"/>
      <queryTableField id="2" name="customer_segment" tableColumnId="2"/>
      <queryTableField id="4" name="product_category" tableColumnId="4"/>
      <queryTableField id="3" name="region" tableColumnId="3"/>
      <queryTableField id="5" name="product_name" tableColumnId="5"/>
      <queryTableField id="6" name="sales_amount" tableColumnId="6"/>
      <queryTableField id="7" name="profit" tableColumnId="7"/>
      <queryTableField id="8" name="discount_percent" tableColumnId="8"/>
      <queryTableField id="9" name="shipping_cost" tableColumnId="9"/>
      <queryTableField id="10" name="margin_perc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A0121-6033-4849-8228-08F0E0EB5BD2}" name="na_corporate_leak_audit" displayName="na_corporate_leak_audit" ref="A1:J43" tableType="queryTable" totalsRowShown="0">
  <autoFilter ref="A1:J43" xr:uid="{C4FA0121-6033-4849-8228-08F0E0EB5BD2}"/>
  <tableColumns count="10">
    <tableColumn id="1" xr3:uid="{DD7FD16F-CDDC-4187-9B8D-3E1A38F5119E}" uniqueName="1" name="order_id" queryTableFieldId="1" dataDxfId="4"/>
    <tableColumn id="2" xr3:uid="{E5E80CEB-2E14-4112-A3F4-1D9776E7A786}" uniqueName="2" name="customer_segment" queryTableFieldId="2" dataDxfId="3"/>
    <tableColumn id="4" xr3:uid="{67A70611-4D50-4992-8151-02B36B0992B0}" uniqueName="4" name="product_category" queryTableFieldId="4" dataDxfId="2"/>
    <tableColumn id="3" xr3:uid="{01CCF28F-3763-45D5-9543-E40E58C90277}" uniqueName="3" name="region" queryTableFieldId="3" dataDxfId="1"/>
    <tableColumn id="5" xr3:uid="{D593C7FF-6BB3-418E-9269-8BDE944E4782}" uniqueName="5" name="product_name" queryTableFieldId="5" dataDxfId="0"/>
    <tableColumn id="6" xr3:uid="{DC1E421B-15EE-441A-8A42-11913E449877}" uniqueName="6" name="sales_amount" queryTableFieldId="6"/>
    <tableColumn id="7" xr3:uid="{E6DF9427-D408-4FE8-AB8B-BB930995364E}" uniqueName="7" name="profit" queryTableFieldId="7"/>
    <tableColumn id="8" xr3:uid="{3BC39BF4-B664-430B-A385-03F2D18119E3}" uniqueName="8" name="discount_percent" queryTableFieldId="8"/>
    <tableColumn id="9" xr3:uid="{805F68B0-A22D-400B-A2C4-11F5B7DC14FC}" uniqueName="9" name="shipping_cost" queryTableFieldId="9"/>
    <tableColumn id="10" xr3:uid="{F12CDEF1-DB5E-4F62-A2FC-EE7DF4ADB999}" uniqueName="10" name="margin_perce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1E6-BB6A-4EDF-8A77-EFC83BFB1BBF}">
  <dimension ref="A1:U41"/>
  <sheetViews>
    <sheetView showGridLines="0" tabSelected="1" workbookViewId="0">
      <selection activeCell="F25" sqref="F25"/>
    </sheetView>
  </sheetViews>
  <sheetFormatPr defaultRowHeight="15" x14ac:dyDescent="0.25"/>
  <cols>
    <col min="1" max="7" width="38.42578125" customWidth="1"/>
    <col min="8" max="8" width="19.140625" bestFit="1" customWidth="1"/>
    <col min="9" max="9" width="15.85546875" bestFit="1" customWidth="1"/>
    <col min="10" max="10" width="17.42578125" bestFit="1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2" t="s">
        <v>65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3"/>
      <c r="B3" s="13"/>
      <c r="C3" s="13"/>
      <c r="D3" s="13"/>
      <c r="E3" s="13"/>
      <c r="F3" s="1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2" t="s">
        <v>66</v>
      </c>
      <c r="C6" s="1"/>
      <c r="D6" s="2" t="s">
        <v>67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0">
        <v>0.1</v>
      </c>
      <c r="C7" s="1"/>
      <c r="D7" s="11">
        <v>300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3" t="s">
        <v>72</v>
      </c>
      <c r="C10" s="4" t="s">
        <v>68</v>
      </c>
      <c r="D10" s="4" t="s">
        <v>69</v>
      </c>
      <c r="E10" s="4" t="s">
        <v>70</v>
      </c>
      <c r="F10" s="4" t="s">
        <v>71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 t="str" cm="1">
        <f t="array" ref="B11:B20">_xlfn.UNIQUE(Data_Warehouse!E2:E43)</f>
        <v>Paper Clips Box 500pc</v>
      </c>
      <c r="C11" s="8" cm="1">
        <f t="array" ref="C11:C20">SUMIF(Data_Warehouse!E:E,_xlfn.ANCHORARRAY(Dashboard_Core!B11),Data_Warehouse!F:F)</f>
        <v>111.74</v>
      </c>
      <c r="D11" s="8">
        <f>IF(C11 &gt; $D$7, C11, C11 * (1 + $B$7))</f>
        <v>122.914</v>
      </c>
      <c r="E11" s="8">
        <f>D11 - C11</f>
        <v>11.174000000000007</v>
      </c>
      <c r="F11" s="5">
        <f>E11 / C11</f>
        <v>0.10000000000000006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 t="str">
        <v>Binder Clips Assorted 48pc</v>
      </c>
      <c r="C12" s="8">
        <v>103.08</v>
      </c>
      <c r="D12" s="8">
        <f>IF(C12 &gt; $D$7, C12, C12 * (1 + $B$7))</f>
        <v>113.38800000000001</v>
      </c>
      <c r="E12" s="8">
        <f>D12 - C12</f>
        <v>10.308000000000007</v>
      </c>
      <c r="F12" s="5">
        <f>E12 / C12</f>
        <v>0.10000000000000007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 t="str">
        <v>Ballpoint Pen Pack 12</v>
      </c>
      <c r="C13" s="8">
        <v>191.87</v>
      </c>
      <c r="D13" s="8">
        <f t="shared" ref="D13:D20" si="0">IF(C13 &gt; $D$7, C13, C13 * (1 + $B$7))</f>
        <v>211.05700000000002</v>
      </c>
      <c r="E13" s="8">
        <f t="shared" ref="E13:E20" si="1">D13 - C13</f>
        <v>19.187000000000012</v>
      </c>
      <c r="F13" s="5">
        <f>E13 / C13</f>
        <v>0.10000000000000006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 t="str">
        <v>Desk Calendar 2025</v>
      </c>
      <c r="C14" s="8">
        <v>125.16</v>
      </c>
      <c r="D14" s="8">
        <f>IF(C14 &gt; $D$7, C14, C14 * (1 + $B$7))</f>
        <v>137.67600000000002</v>
      </c>
      <c r="E14" s="8">
        <f t="shared" si="1"/>
        <v>12.51600000000002</v>
      </c>
      <c r="F14" s="5">
        <f>E14 / C14</f>
        <v>0.10000000000000016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 t="str">
        <v>Tape Dispenser Heavy Duty</v>
      </c>
      <c r="C15" s="8">
        <v>184.20000000000002</v>
      </c>
      <c r="D15" s="8">
        <f t="shared" si="0"/>
        <v>202.62000000000003</v>
      </c>
      <c r="E15" s="8">
        <f t="shared" si="1"/>
        <v>18.420000000000016</v>
      </c>
      <c r="F15" s="5">
        <f t="shared" ref="F15:F20" si="2">E15 / C15</f>
        <v>0.10000000000000007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 t="str">
        <v>Stapler Full-Size</v>
      </c>
      <c r="C16" s="8">
        <v>133.08000000000001</v>
      </c>
      <c r="D16" s="8">
        <f t="shared" si="0"/>
        <v>146.38800000000003</v>
      </c>
      <c r="E16" s="8">
        <f t="shared" si="1"/>
        <v>13.308000000000021</v>
      </c>
      <c r="F16" s="5">
        <f t="shared" si="2"/>
        <v>0.10000000000000014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1" t="str">
        <v>Premium Notebook Set A5</v>
      </c>
      <c r="C17" s="8">
        <v>150.32</v>
      </c>
      <c r="D17" s="8">
        <f t="shared" si="0"/>
        <v>165.352</v>
      </c>
      <c r="E17" s="8">
        <f t="shared" si="1"/>
        <v>15.032000000000011</v>
      </c>
      <c r="F17" s="5">
        <f t="shared" si="2"/>
        <v>0.10000000000000007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1" t="str">
        <v>Whiteboard Markers Set 8</v>
      </c>
      <c r="C18" s="8">
        <v>204.85999999999999</v>
      </c>
      <c r="D18" s="8">
        <f t="shared" si="0"/>
        <v>225.346</v>
      </c>
      <c r="E18" s="8">
        <f t="shared" si="1"/>
        <v>20.486000000000018</v>
      </c>
      <c r="F18" s="5">
        <f t="shared" si="2"/>
        <v>0.1000000000000001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1" t="str">
        <v>Sticky Notes Multicolor 6-Pack</v>
      </c>
      <c r="C19" s="8">
        <v>71.599999999999994</v>
      </c>
      <c r="D19" s="8">
        <f t="shared" si="0"/>
        <v>78.760000000000005</v>
      </c>
      <c r="E19" s="8">
        <f t="shared" si="1"/>
        <v>7.1600000000000108</v>
      </c>
      <c r="F19" s="5">
        <f t="shared" si="2"/>
        <v>0.10000000000000016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1" t="str">
        <v>Highlighters Neon Pack 6</v>
      </c>
      <c r="C20" s="8">
        <v>17.12</v>
      </c>
      <c r="D20" s="8">
        <f t="shared" si="0"/>
        <v>18.832000000000004</v>
      </c>
      <c r="E20" s="8">
        <f t="shared" si="1"/>
        <v>1.7120000000000033</v>
      </c>
      <c r="F20" s="5">
        <f t="shared" si="2"/>
        <v>0.10000000000000019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thickBot="1" x14ac:dyDescent="0.3">
      <c r="A21" s="1"/>
      <c r="B21" s="6" t="s">
        <v>73</v>
      </c>
      <c r="C21" s="9">
        <f>SUM(C11:C20)</f>
        <v>1293.0299999999997</v>
      </c>
      <c r="D21" s="9">
        <f>SUM(D11:D20)</f>
        <v>1422.3330000000003</v>
      </c>
      <c r="E21" s="9">
        <f>SUM(E11:E20)</f>
        <v>129.30300000000011</v>
      </c>
      <c r="F21" s="7">
        <f>E21 / C21</f>
        <v>0.1000000000000001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thickTop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</sheetData>
  <sheetProtection algorithmName="SHA-512" hashValue="opHXqkfSnb9WFPpnWVmtGuPg5IinwY5y7cnAdR4YTl6HIQggznisdr9sQdnuXOREGd7pmXJG/80uL3xrLY38Og==" saltValue="cC3iVXReydEQavVUs2ZHeQ==" spinCount="100000" sheet="1" objects="1" scenarios="1"/>
  <mergeCells count="1">
    <mergeCell ref="A2:F3"/>
  </mergeCells>
  <conditionalFormatting sqref="E11:E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{75077BFD-180F-4574-8807-8A51ABAF18D6}</x14:id>
        </ext>
      </extLst>
    </cfRule>
  </conditionalFormatting>
  <dataValidations count="2">
    <dataValidation type="list" allowBlank="1" showInputMessage="1" showErrorMessage="1" sqref="B7" xr:uid="{5AD8130D-4FDB-4B04-BA77-D513F93C915D}">
      <formula1>"5%, 10%, 15%, 20%, 25%"</formula1>
    </dataValidation>
    <dataValidation type="list" allowBlank="1" showInputMessage="1" showErrorMessage="1" sqref="D7" xr:uid="{04AE3268-5C3D-4606-8DCE-346409DFA2BA}">
      <formula1>"100, 200, 300, 400, 500"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077BFD-180F-4574-8807-8A51ABAF18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E11:E20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EBDF-83E1-4864-AD96-1FCB07B366F8}">
  <dimension ref="A1:J43"/>
  <sheetViews>
    <sheetView topLeftCell="A7" workbookViewId="0">
      <selection activeCell="L19" sqref="L19"/>
    </sheetView>
  </sheetViews>
  <sheetFormatPr defaultRowHeight="15" x14ac:dyDescent="0.25"/>
  <cols>
    <col min="1" max="4" width="20.85546875" customWidth="1"/>
    <col min="5" max="5" width="27.7109375" customWidth="1"/>
    <col min="6" max="10" width="20.85546875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13</v>
      </c>
      <c r="D2" t="s">
        <v>12</v>
      </c>
      <c r="E2" t="s">
        <v>14</v>
      </c>
      <c r="F2">
        <v>26.06</v>
      </c>
      <c r="G2">
        <v>4.18</v>
      </c>
      <c r="H2">
        <v>10</v>
      </c>
      <c r="I2">
        <v>8.85</v>
      </c>
      <c r="J2">
        <v>16.04</v>
      </c>
    </row>
    <row r="3" spans="1:10" x14ac:dyDescent="0.25">
      <c r="A3" t="s">
        <v>15</v>
      </c>
      <c r="B3" t="s">
        <v>11</v>
      </c>
      <c r="C3" t="s">
        <v>13</v>
      </c>
      <c r="D3" t="s">
        <v>12</v>
      </c>
      <c r="E3" t="s">
        <v>16</v>
      </c>
      <c r="F3">
        <v>20.82</v>
      </c>
      <c r="G3">
        <v>-1.04</v>
      </c>
      <c r="H3">
        <v>5</v>
      </c>
      <c r="I3">
        <v>12</v>
      </c>
      <c r="J3">
        <v>-5</v>
      </c>
    </row>
    <row r="4" spans="1:10" x14ac:dyDescent="0.25">
      <c r="A4" t="s">
        <v>17</v>
      </c>
      <c r="B4" t="s">
        <v>11</v>
      </c>
      <c r="C4" t="s">
        <v>13</v>
      </c>
      <c r="D4" t="s">
        <v>12</v>
      </c>
      <c r="E4" t="s">
        <v>14</v>
      </c>
      <c r="F4">
        <v>4.82</v>
      </c>
      <c r="G4">
        <v>-3.68</v>
      </c>
      <c r="H4">
        <v>15</v>
      </c>
      <c r="I4">
        <v>5.95</v>
      </c>
      <c r="J4">
        <v>-76.349999999999994</v>
      </c>
    </row>
    <row r="5" spans="1:10" x14ac:dyDescent="0.25">
      <c r="A5" t="s">
        <v>18</v>
      </c>
      <c r="B5" t="s">
        <v>11</v>
      </c>
      <c r="C5" t="s">
        <v>13</v>
      </c>
      <c r="D5" t="s">
        <v>12</v>
      </c>
      <c r="E5" t="s">
        <v>19</v>
      </c>
      <c r="F5">
        <v>27.5</v>
      </c>
      <c r="G5">
        <v>3.85</v>
      </c>
      <c r="H5">
        <v>5</v>
      </c>
      <c r="I5">
        <v>10.62</v>
      </c>
      <c r="J5">
        <v>14</v>
      </c>
    </row>
    <row r="6" spans="1:10" x14ac:dyDescent="0.25">
      <c r="A6" t="s">
        <v>20</v>
      </c>
      <c r="B6" t="s">
        <v>11</v>
      </c>
      <c r="C6" t="s">
        <v>13</v>
      </c>
      <c r="D6" t="s">
        <v>12</v>
      </c>
      <c r="E6" t="s">
        <v>21</v>
      </c>
      <c r="F6">
        <v>27.88</v>
      </c>
      <c r="G6">
        <v>7.87</v>
      </c>
      <c r="H6">
        <v>10</v>
      </c>
      <c r="I6">
        <v>6.07</v>
      </c>
      <c r="J6">
        <v>28.23</v>
      </c>
    </row>
    <row r="7" spans="1:10" x14ac:dyDescent="0.25">
      <c r="A7" t="s">
        <v>22</v>
      </c>
      <c r="B7" t="s">
        <v>11</v>
      </c>
      <c r="C7" t="s">
        <v>13</v>
      </c>
      <c r="D7" t="s">
        <v>12</v>
      </c>
      <c r="E7" t="s">
        <v>23</v>
      </c>
      <c r="F7">
        <v>45.14</v>
      </c>
      <c r="G7">
        <v>15.8</v>
      </c>
      <c r="H7">
        <v>5</v>
      </c>
      <c r="I7">
        <v>7.96</v>
      </c>
      <c r="J7">
        <v>35</v>
      </c>
    </row>
    <row r="8" spans="1:10" x14ac:dyDescent="0.25">
      <c r="A8" t="s">
        <v>24</v>
      </c>
      <c r="B8" t="s">
        <v>11</v>
      </c>
      <c r="C8" t="s">
        <v>13</v>
      </c>
      <c r="D8" t="s">
        <v>12</v>
      </c>
      <c r="E8" t="s">
        <v>23</v>
      </c>
      <c r="F8">
        <v>50.84</v>
      </c>
      <c r="G8">
        <v>14.46</v>
      </c>
      <c r="H8">
        <v>10</v>
      </c>
      <c r="I8">
        <v>10.96</v>
      </c>
      <c r="J8">
        <v>28.44</v>
      </c>
    </row>
    <row r="9" spans="1:10" x14ac:dyDescent="0.25">
      <c r="A9" t="s">
        <v>25</v>
      </c>
      <c r="B9" t="s">
        <v>11</v>
      </c>
      <c r="C9" t="s">
        <v>13</v>
      </c>
      <c r="D9" t="s">
        <v>12</v>
      </c>
      <c r="E9" t="s">
        <v>26</v>
      </c>
      <c r="F9">
        <v>35.5</v>
      </c>
      <c r="G9">
        <v>11.37</v>
      </c>
      <c r="H9">
        <v>10</v>
      </c>
      <c r="I9">
        <v>6.38</v>
      </c>
      <c r="J9">
        <v>32.03</v>
      </c>
    </row>
    <row r="10" spans="1:10" x14ac:dyDescent="0.25">
      <c r="A10" t="s">
        <v>27</v>
      </c>
      <c r="B10" t="s">
        <v>11</v>
      </c>
      <c r="C10" t="s">
        <v>13</v>
      </c>
      <c r="D10" t="s">
        <v>12</v>
      </c>
      <c r="E10" t="s">
        <v>28</v>
      </c>
      <c r="F10">
        <v>30.49</v>
      </c>
      <c r="G10">
        <v>4.13</v>
      </c>
      <c r="H10">
        <v>5</v>
      </c>
      <c r="I10">
        <v>11.92</v>
      </c>
      <c r="J10">
        <v>13.55</v>
      </c>
    </row>
    <row r="11" spans="1:10" x14ac:dyDescent="0.25">
      <c r="A11" t="s">
        <v>29</v>
      </c>
      <c r="B11" t="s">
        <v>11</v>
      </c>
      <c r="C11" t="s">
        <v>13</v>
      </c>
      <c r="D11" t="s">
        <v>12</v>
      </c>
      <c r="E11" t="s">
        <v>30</v>
      </c>
      <c r="F11">
        <v>18.91</v>
      </c>
      <c r="G11">
        <v>-1.62</v>
      </c>
      <c r="H11">
        <v>25</v>
      </c>
      <c r="I11">
        <v>9.18</v>
      </c>
      <c r="J11">
        <v>-8.57</v>
      </c>
    </row>
    <row r="12" spans="1:10" x14ac:dyDescent="0.25">
      <c r="A12" t="s">
        <v>31</v>
      </c>
      <c r="B12" t="s">
        <v>11</v>
      </c>
      <c r="C12" t="s">
        <v>13</v>
      </c>
      <c r="D12" t="s">
        <v>12</v>
      </c>
      <c r="E12" t="s">
        <v>30</v>
      </c>
      <c r="F12">
        <v>49.54</v>
      </c>
      <c r="G12">
        <v>11.45</v>
      </c>
      <c r="H12">
        <v>5</v>
      </c>
      <c r="I12">
        <v>14.62</v>
      </c>
      <c r="J12">
        <v>23.11</v>
      </c>
    </row>
    <row r="13" spans="1:10" x14ac:dyDescent="0.25">
      <c r="A13" t="s">
        <v>32</v>
      </c>
      <c r="B13" t="s">
        <v>11</v>
      </c>
      <c r="C13" t="s">
        <v>13</v>
      </c>
      <c r="D13" t="s">
        <v>12</v>
      </c>
      <c r="E13" t="s">
        <v>30</v>
      </c>
      <c r="F13">
        <v>45.26</v>
      </c>
      <c r="G13">
        <v>11.16</v>
      </c>
      <c r="H13">
        <v>15</v>
      </c>
      <c r="I13">
        <v>10.14</v>
      </c>
      <c r="J13">
        <v>24.66</v>
      </c>
    </row>
    <row r="14" spans="1:10" x14ac:dyDescent="0.25">
      <c r="A14" t="s">
        <v>33</v>
      </c>
      <c r="B14" t="s">
        <v>11</v>
      </c>
      <c r="C14" t="s">
        <v>13</v>
      </c>
      <c r="D14" t="s">
        <v>12</v>
      </c>
      <c r="E14" t="s">
        <v>14</v>
      </c>
      <c r="F14">
        <v>11.71</v>
      </c>
      <c r="G14">
        <v>-8.6</v>
      </c>
      <c r="H14">
        <v>20</v>
      </c>
      <c r="I14">
        <v>13.72</v>
      </c>
      <c r="J14">
        <v>-73.44</v>
      </c>
    </row>
    <row r="15" spans="1:10" x14ac:dyDescent="0.25">
      <c r="A15" t="s">
        <v>34</v>
      </c>
      <c r="B15" t="s">
        <v>11</v>
      </c>
      <c r="C15" t="s">
        <v>13</v>
      </c>
      <c r="D15" t="s">
        <v>12</v>
      </c>
      <c r="E15" t="s">
        <v>35</v>
      </c>
      <c r="F15">
        <v>24.74</v>
      </c>
      <c r="G15">
        <v>-1.82</v>
      </c>
      <c r="H15">
        <v>5</v>
      </c>
      <c r="I15">
        <v>14.84</v>
      </c>
      <c r="J15">
        <v>-7.36</v>
      </c>
    </row>
    <row r="16" spans="1:10" x14ac:dyDescent="0.25">
      <c r="A16" t="s">
        <v>36</v>
      </c>
      <c r="B16" t="s">
        <v>11</v>
      </c>
      <c r="C16" t="s">
        <v>13</v>
      </c>
      <c r="D16" t="s">
        <v>12</v>
      </c>
      <c r="E16" t="s">
        <v>19</v>
      </c>
      <c r="F16">
        <v>116.06</v>
      </c>
      <c r="G16">
        <v>37.42</v>
      </c>
      <c r="H16">
        <v>10</v>
      </c>
      <c r="I16">
        <v>20.61</v>
      </c>
      <c r="J16">
        <v>32.24</v>
      </c>
    </row>
    <row r="17" spans="1:10" x14ac:dyDescent="0.25">
      <c r="A17" t="s">
        <v>37</v>
      </c>
      <c r="B17" t="s">
        <v>11</v>
      </c>
      <c r="C17" t="s">
        <v>13</v>
      </c>
      <c r="D17" t="s">
        <v>12</v>
      </c>
      <c r="E17" t="s">
        <v>16</v>
      </c>
      <c r="F17">
        <v>42.23</v>
      </c>
      <c r="G17">
        <v>6.5</v>
      </c>
      <c r="H17">
        <v>15</v>
      </c>
      <c r="I17">
        <v>13.37</v>
      </c>
      <c r="J17">
        <v>15.39</v>
      </c>
    </row>
    <row r="18" spans="1:10" x14ac:dyDescent="0.25">
      <c r="A18" t="s">
        <v>38</v>
      </c>
      <c r="B18" t="s">
        <v>11</v>
      </c>
      <c r="C18" t="s">
        <v>13</v>
      </c>
      <c r="D18" t="s">
        <v>12</v>
      </c>
      <c r="E18" t="s">
        <v>30</v>
      </c>
      <c r="F18">
        <v>15.86</v>
      </c>
      <c r="G18">
        <v>0.14000000000000001</v>
      </c>
      <c r="H18">
        <v>20</v>
      </c>
      <c r="I18">
        <v>6.8</v>
      </c>
      <c r="J18">
        <v>0.88</v>
      </c>
    </row>
    <row r="19" spans="1:10" x14ac:dyDescent="0.25">
      <c r="A19" t="s">
        <v>39</v>
      </c>
      <c r="B19" t="s">
        <v>11</v>
      </c>
      <c r="C19" t="s">
        <v>13</v>
      </c>
      <c r="D19" t="s">
        <v>12</v>
      </c>
      <c r="E19" t="s">
        <v>26</v>
      </c>
      <c r="F19">
        <v>20.25</v>
      </c>
      <c r="G19">
        <v>2.6</v>
      </c>
      <c r="H19">
        <v>5</v>
      </c>
      <c r="I19">
        <v>8.06</v>
      </c>
      <c r="J19">
        <v>12.84</v>
      </c>
    </row>
    <row r="20" spans="1:10" x14ac:dyDescent="0.25">
      <c r="A20" t="s">
        <v>40</v>
      </c>
      <c r="B20" t="s">
        <v>11</v>
      </c>
      <c r="C20" t="s">
        <v>13</v>
      </c>
      <c r="D20" t="s">
        <v>12</v>
      </c>
      <c r="E20" t="s">
        <v>21</v>
      </c>
      <c r="F20">
        <v>67.45</v>
      </c>
      <c r="G20">
        <v>22.47</v>
      </c>
      <c r="H20">
        <v>5</v>
      </c>
      <c r="I20">
        <v>13.03</v>
      </c>
      <c r="J20">
        <v>33.31</v>
      </c>
    </row>
    <row r="21" spans="1:10" x14ac:dyDescent="0.25">
      <c r="A21" t="s">
        <v>41</v>
      </c>
      <c r="B21" t="s">
        <v>11</v>
      </c>
      <c r="C21" t="s">
        <v>13</v>
      </c>
      <c r="D21" t="s">
        <v>12</v>
      </c>
      <c r="E21" t="s">
        <v>19</v>
      </c>
      <c r="F21">
        <v>35.72</v>
      </c>
      <c r="G21">
        <v>6.37</v>
      </c>
      <c r="H21">
        <v>20</v>
      </c>
      <c r="I21">
        <v>9.26</v>
      </c>
      <c r="J21">
        <v>17.829999999999998</v>
      </c>
    </row>
    <row r="22" spans="1:10" x14ac:dyDescent="0.25">
      <c r="A22" t="s">
        <v>42</v>
      </c>
      <c r="B22" t="s">
        <v>11</v>
      </c>
      <c r="C22" t="s">
        <v>13</v>
      </c>
      <c r="D22" t="s">
        <v>12</v>
      </c>
      <c r="E22" t="s">
        <v>35</v>
      </c>
      <c r="F22">
        <v>40.200000000000003</v>
      </c>
      <c r="G22">
        <v>7.06</v>
      </c>
      <c r="H22">
        <v>5</v>
      </c>
      <c r="I22">
        <v>14.1</v>
      </c>
      <c r="J22">
        <v>17.559999999999999</v>
      </c>
    </row>
    <row r="23" spans="1:10" x14ac:dyDescent="0.25">
      <c r="A23" t="s">
        <v>43</v>
      </c>
      <c r="B23" t="s">
        <v>11</v>
      </c>
      <c r="C23" t="s">
        <v>13</v>
      </c>
      <c r="D23" t="s">
        <v>12</v>
      </c>
      <c r="E23" t="s">
        <v>23</v>
      </c>
      <c r="F23">
        <v>59.06</v>
      </c>
      <c r="G23">
        <v>18.690000000000001</v>
      </c>
      <c r="H23">
        <v>15</v>
      </c>
      <c r="I23">
        <v>9.1</v>
      </c>
      <c r="J23">
        <v>31.65</v>
      </c>
    </row>
    <row r="24" spans="1:10" x14ac:dyDescent="0.25">
      <c r="A24" t="s">
        <v>44</v>
      </c>
      <c r="B24" t="s">
        <v>11</v>
      </c>
      <c r="C24" t="s">
        <v>13</v>
      </c>
      <c r="D24" t="s">
        <v>12</v>
      </c>
      <c r="E24" t="s">
        <v>14</v>
      </c>
      <c r="F24">
        <v>14.85</v>
      </c>
      <c r="G24">
        <v>-1.54</v>
      </c>
      <c r="H24">
        <v>20</v>
      </c>
      <c r="I24">
        <v>8.0399999999999991</v>
      </c>
      <c r="J24">
        <v>-10.37</v>
      </c>
    </row>
    <row r="25" spans="1:10" x14ac:dyDescent="0.25">
      <c r="A25" t="s">
        <v>45</v>
      </c>
      <c r="B25" t="s">
        <v>11</v>
      </c>
      <c r="C25" t="s">
        <v>13</v>
      </c>
      <c r="D25" t="s">
        <v>12</v>
      </c>
      <c r="E25" t="s">
        <v>30</v>
      </c>
      <c r="F25">
        <v>47.97</v>
      </c>
      <c r="G25">
        <v>1.33</v>
      </c>
      <c r="H25">
        <v>30</v>
      </c>
      <c r="I25">
        <v>15.8</v>
      </c>
      <c r="J25">
        <v>2.77</v>
      </c>
    </row>
    <row r="26" spans="1:10" x14ac:dyDescent="0.25">
      <c r="A26" t="s">
        <v>46</v>
      </c>
      <c r="B26" t="s">
        <v>11</v>
      </c>
      <c r="C26" t="s">
        <v>13</v>
      </c>
      <c r="D26" t="s">
        <v>12</v>
      </c>
      <c r="E26" t="s">
        <v>21</v>
      </c>
      <c r="F26">
        <v>7.03</v>
      </c>
      <c r="G26">
        <v>-2.29</v>
      </c>
      <c r="H26">
        <v>15</v>
      </c>
      <c r="I26">
        <v>5.6</v>
      </c>
      <c r="J26">
        <v>-32.57</v>
      </c>
    </row>
    <row r="27" spans="1:10" x14ac:dyDescent="0.25">
      <c r="A27" t="s">
        <v>47</v>
      </c>
      <c r="B27" t="s">
        <v>11</v>
      </c>
      <c r="C27" t="s">
        <v>13</v>
      </c>
      <c r="D27" t="s">
        <v>12</v>
      </c>
      <c r="E27" t="s">
        <v>14</v>
      </c>
      <c r="F27">
        <v>31.2</v>
      </c>
      <c r="G27">
        <v>-3.04</v>
      </c>
      <c r="H27">
        <v>20</v>
      </c>
      <c r="I27">
        <v>16.690000000000001</v>
      </c>
      <c r="J27">
        <v>-9.74</v>
      </c>
    </row>
    <row r="28" spans="1:10" x14ac:dyDescent="0.25">
      <c r="A28" t="s">
        <v>48</v>
      </c>
      <c r="B28" t="s">
        <v>11</v>
      </c>
      <c r="C28" t="s">
        <v>13</v>
      </c>
      <c r="D28" t="s">
        <v>12</v>
      </c>
      <c r="E28" t="s">
        <v>26</v>
      </c>
      <c r="F28">
        <v>11.65</v>
      </c>
      <c r="G28">
        <v>-2.0499999999999998</v>
      </c>
      <c r="H28">
        <v>25</v>
      </c>
      <c r="I28">
        <v>6.71</v>
      </c>
      <c r="J28">
        <v>-17.600000000000001</v>
      </c>
    </row>
    <row r="29" spans="1:10" x14ac:dyDescent="0.25">
      <c r="A29" t="s">
        <v>49</v>
      </c>
      <c r="B29" t="s">
        <v>11</v>
      </c>
      <c r="C29" t="s">
        <v>13</v>
      </c>
      <c r="D29" t="s">
        <v>12</v>
      </c>
      <c r="E29" t="s">
        <v>23</v>
      </c>
      <c r="F29">
        <v>29.16</v>
      </c>
      <c r="G29">
        <v>8.08</v>
      </c>
      <c r="H29">
        <v>10</v>
      </c>
      <c r="I29">
        <v>6.5</v>
      </c>
      <c r="J29">
        <v>27.71</v>
      </c>
    </row>
    <row r="30" spans="1:10" x14ac:dyDescent="0.25">
      <c r="A30" t="s">
        <v>50</v>
      </c>
      <c r="B30" t="s">
        <v>11</v>
      </c>
      <c r="C30" t="s">
        <v>13</v>
      </c>
      <c r="D30" t="s">
        <v>12</v>
      </c>
      <c r="E30" t="s">
        <v>30</v>
      </c>
      <c r="F30">
        <v>11.23</v>
      </c>
      <c r="G30">
        <v>0.09</v>
      </c>
      <c r="H30">
        <v>10</v>
      </c>
      <c r="I30">
        <v>5.52</v>
      </c>
      <c r="J30">
        <v>0.8</v>
      </c>
    </row>
    <row r="31" spans="1:10" x14ac:dyDescent="0.25">
      <c r="A31" t="s">
        <v>51</v>
      </c>
      <c r="B31" t="s">
        <v>11</v>
      </c>
      <c r="C31" t="s">
        <v>13</v>
      </c>
      <c r="D31" t="s">
        <v>12</v>
      </c>
      <c r="E31" t="s">
        <v>19</v>
      </c>
      <c r="F31">
        <v>12.59</v>
      </c>
      <c r="G31">
        <v>0.94</v>
      </c>
      <c r="H31">
        <v>5</v>
      </c>
      <c r="I31">
        <v>5.69</v>
      </c>
      <c r="J31">
        <v>7.47</v>
      </c>
    </row>
    <row r="32" spans="1:10" x14ac:dyDescent="0.25">
      <c r="A32" t="s">
        <v>52</v>
      </c>
      <c r="B32" t="s">
        <v>11</v>
      </c>
      <c r="C32" t="s">
        <v>13</v>
      </c>
      <c r="D32" t="s">
        <v>12</v>
      </c>
      <c r="E32" t="s">
        <v>26</v>
      </c>
      <c r="F32">
        <v>29.71</v>
      </c>
      <c r="G32">
        <v>2.1800000000000002</v>
      </c>
      <c r="H32">
        <v>15</v>
      </c>
      <c r="I32">
        <v>11.8</v>
      </c>
      <c r="J32">
        <v>7.34</v>
      </c>
    </row>
    <row r="33" spans="1:10" x14ac:dyDescent="0.25">
      <c r="A33" t="s">
        <v>53</v>
      </c>
      <c r="B33" t="s">
        <v>11</v>
      </c>
      <c r="C33" t="s">
        <v>13</v>
      </c>
      <c r="D33" t="s">
        <v>12</v>
      </c>
      <c r="E33" t="s">
        <v>26</v>
      </c>
      <c r="F33">
        <v>35.97</v>
      </c>
      <c r="G33">
        <v>6.62</v>
      </c>
      <c r="H33">
        <v>15</v>
      </c>
      <c r="I33">
        <v>10.31</v>
      </c>
      <c r="J33">
        <v>18.399999999999999</v>
      </c>
    </row>
    <row r="34" spans="1:10" x14ac:dyDescent="0.25">
      <c r="A34" t="s">
        <v>54</v>
      </c>
      <c r="B34" t="s">
        <v>11</v>
      </c>
      <c r="C34" t="s">
        <v>13</v>
      </c>
      <c r="D34" t="s">
        <v>12</v>
      </c>
      <c r="E34" t="s">
        <v>55</v>
      </c>
      <c r="F34">
        <v>17.12</v>
      </c>
      <c r="G34">
        <v>1.94</v>
      </c>
      <c r="H34">
        <v>15</v>
      </c>
      <c r="I34">
        <v>6.12</v>
      </c>
      <c r="J34">
        <v>11.33</v>
      </c>
    </row>
    <row r="35" spans="1:10" x14ac:dyDescent="0.25">
      <c r="A35" t="s">
        <v>56</v>
      </c>
      <c r="B35" t="s">
        <v>11</v>
      </c>
      <c r="C35" t="s">
        <v>13</v>
      </c>
      <c r="D35" t="s">
        <v>12</v>
      </c>
      <c r="E35" t="s">
        <v>14</v>
      </c>
      <c r="F35">
        <v>2.58</v>
      </c>
      <c r="G35">
        <v>-5.66</v>
      </c>
      <c r="H35">
        <v>25</v>
      </c>
      <c r="I35">
        <v>6.69</v>
      </c>
      <c r="J35">
        <v>-219.38</v>
      </c>
    </row>
    <row r="36" spans="1:10" x14ac:dyDescent="0.25">
      <c r="A36" t="s">
        <v>57</v>
      </c>
      <c r="B36" t="s">
        <v>11</v>
      </c>
      <c r="C36" t="s">
        <v>13</v>
      </c>
      <c r="D36" t="s">
        <v>12</v>
      </c>
      <c r="E36" t="s">
        <v>16</v>
      </c>
      <c r="F36">
        <v>16.16</v>
      </c>
      <c r="G36">
        <v>-1.58</v>
      </c>
      <c r="H36">
        <v>10</v>
      </c>
      <c r="I36">
        <v>9.66</v>
      </c>
      <c r="J36">
        <v>-9.7799999999999994</v>
      </c>
    </row>
    <row r="37" spans="1:10" x14ac:dyDescent="0.25">
      <c r="A37" t="s">
        <v>58</v>
      </c>
      <c r="B37" t="s">
        <v>11</v>
      </c>
      <c r="C37" t="s">
        <v>13</v>
      </c>
      <c r="D37" t="s">
        <v>12</v>
      </c>
      <c r="E37" t="s">
        <v>30</v>
      </c>
      <c r="F37">
        <v>16.09</v>
      </c>
      <c r="G37">
        <v>1.38</v>
      </c>
      <c r="H37">
        <v>10</v>
      </c>
      <c r="I37">
        <v>6.66</v>
      </c>
      <c r="J37">
        <v>8.58</v>
      </c>
    </row>
    <row r="38" spans="1:10" x14ac:dyDescent="0.25">
      <c r="A38" t="s">
        <v>59</v>
      </c>
      <c r="B38" t="s">
        <v>11</v>
      </c>
      <c r="C38" t="s">
        <v>13</v>
      </c>
      <c r="D38" t="s">
        <v>12</v>
      </c>
      <c r="E38" t="s">
        <v>28</v>
      </c>
      <c r="F38">
        <v>83.98</v>
      </c>
      <c r="G38">
        <v>31.41</v>
      </c>
      <c r="H38">
        <v>10</v>
      </c>
      <c r="I38">
        <v>10.58</v>
      </c>
      <c r="J38">
        <v>37.4</v>
      </c>
    </row>
    <row r="39" spans="1:10" x14ac:dyDescent="0.25">
      <c r="A39" t="s">
        <v>60</v>
      </c>
      <c r="B39" t="s">
        <v>11</v>
      </c>
      <c r="C39" t="s">
        <v>13</v>
      </c>
      <c r="D39" t="s">
        <v>12</v>
      </c>
      <c r="E39" t="s">
        <v>14</v>
      </c>
      <c r="F39">
        <v>20.52</v>
      </c>
      <c r="G39">
        <v>0.2</v>
      </c>
      <c r="H39">
        <v>5</v>
      </c>
      <c r="I39">
        <v>10.6</v>
      </c>
      <c r="J39">
        <v>0.97</v>
      </c>
    </row>
    <row r="40" spans="1:10" x14ac:dyDescent="0.25">
      <c r="A40" t="s">
        <v>61</v>
      </c>
      <c r="B40" t="s">
        <v>11</v>
      </c>
      <c r="C40" t="s">
        <v>13</v>
      </c>
      <c r="D40" t="s">
        <v>12</v>
      </c>
      <c r="E40" t="s">
        <v>35</v>
      </c>
      <c r="F40">
        <v>6.66</v>
      </c>
      <c r="G40">
        <v>-3.83</v>
      </c>
      <c r="H40">
        <v>15</v>
      </c>
      <c r="I40">
        <v>6.96</v>
      </c>
      <c r="J40">
        <v>-57.51</v>
      </c>
    </row>
    <row r="41" spans="1:10" x14ac:dyDescent="0.25">
      <c r="A41" t="s">
        <v>62</v>
      </c>
      <c r="B41" t="s">
        <v>11</v>
      </c>
      <c r="C41" t="s">
        <v>13</v>
      </c>
      <c r="D41" t="s">
        <v>12</v>
      </c>
      <c r="E41" t="s">
        <v>16</v>
      </c>
      <c r="F41">
        <v>23.87</v>
      </c>
      <c r="G41">
        <v>3.71</v>
      </c>
      <c r="H41">
        <v>15</v>
      </c>
      <c r="I41">
        <v>7.52</v>
      </c>
      <c r="J41">
        <v>15.54</v>
      </c>
    </row>
    <row r="42" spans="1:10" x14ac:dyDescent="0.25">
      <c r="A42" t="s">
        <v>63</v>
      </c>
      <c r="B42" t="s">
        <v>11</v>
      </c>
      <c r="C42" t="s">
        <v>13</v>
      </c>
      <c r="D42" t="s">
        <v>12</v>
      </c>
      <c r="E42" t="s">
        <v>21</v>
      </c>
      <c r="F42">
        <v>22.8</v>
      </c>
      <c r="G42">
        <v>-0.01</v>
      </c>
      <c r="H42">
        <v>5</v>
      </c>
      <c r="I42">
        <v>12.01</v>
      </c>
      <c r="J42">
        <v>-0.04</v>
      </c>
    </row>
    <row r="43" spans="1:10" x14ac:dyDescent="0.25">
      <c r="A43" t="s">
        <v>64</v>
      </c>
      <c r="B43" t="s">
        <v>11</v>
      </c>
      <c r="C43" t="s">
        <v>13</v>
      </c>
      <c r="D43" t="s">
        <v>12</v>
      </c>
      <c r="E43" t="s">
        <v>28</v>
      </c>
      <c r="F43">
        <v>35.85</v>
      </c>
      <c r="G43">
        <v>0.61</v>
      </c>
      <c r="H43">
        <v>30</v>
      </c>
      <c r="I43">
        <v>12.2</v>
      </c>
      <c r="J43">
        <v>1.7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3CA6B-DE5B-45BB-86FB-8369F6348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Dashboard_Core</vt:lpstr>
      <vt:lpstr>Data_Warehouse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Lavish SY</dc:creator>
  <cp:lastModifiedBy>Lavish SY</cp:lastModifiedBy>
  <dcterms:created xsi:type="dcterms:W3CDTF">2026-07-11T15:35:55Z</dcterms:created>
  <dcterms:modified xsi:type="dcterms:W3CDTF">2026-09-01T09:37:01Z</dcterms:modified>
</cp:coreProperties>
</file>